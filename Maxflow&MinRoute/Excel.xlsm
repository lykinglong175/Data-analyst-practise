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elan/Desktop/"/>
    </mc:Choice>
  </mc:AlternateContent>
  <xr:revisionPtr revIDLastSave="0" documentId="13_ncr:1_{05D08441-32B0-0948-A888-4F9A851B786C}" xr6:coauthVersionLast="47" xr6:coauthVersionMax="47" xr10:uidLastSave="{00000000-0000-0000-0000-000000000000}"/>
  <bookViews>
    <workbookView xWindow="4360" yWindow="1440" windowWidth="22580" windowHeight="17680" tabRatio="702" activeTab="1" xr2:uid="{00000000-000D-0000-FFFF-FFFF00000000}"/>
  </bookViews>
  <sheets>
    <sheet name="Module1" sheetId="1" state="veryHidden" r:id=""/>
    <sheet name="Security Alarm (Shortest Route)" sheetId="2" r:id="rId1"/>
    <sheet name="Maximum Flow" sheetId="9" r:id="rId2"/>
  </sheets>
  <definedNames>
    <definedName name="_xleta.SUM" hidden="1" xlm="1">#NAME?</definedName>
    <definedName name="solver_adj" localSheetId="2" hidden="1">'Maximum Flow'!$C$7:$C$28</definedName>
    <definedName name="solver_adj" localSheetId="1" hidden="1">'Security Alarm (Shortest Route)'!$B$7:$B$24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2</definedName>
    <definedName name="solver_eng" localSheetId="1" hidden="1">2</definedName>
    <definedName name="solver_est" localSheetId="1" hidden="1">1</definedName>
    <definedName name="solver_ibd" localSheetId="1" hidden="1">2</definedName>
    <definedName name="solver_itr" localSheetId="2" hidden="1">2147483647</definedName>
    <definedName name="solver_itr" localSheetId="1" hidden="1">1000</definedName>
    <definedName name="solver_lhs1" localSheetId="2" hidden="1">'Maximum Flow'!$C$7:$C$28</definedName>
    <definedName name="solver_lhs1" localSheetId="1" hidden="1">'Security Alarm (Shortest Route)'!$L$7:$L$16</definedName>
    <definedName name="solver_lhs2" localSheetId="2" hidden="1">'Maximum Flow'!$C$7:$C$28</definedName>
    <definedName name="solver_lhs2" localSheetId="1" hidden="1">'Security Alarm (Shortest Route)'!$B$7:$B$24</definedName>
    <definedName name="solver_lhs3" localSheetId="2" hidden="1">'Maximum Flow'!$L$7:$L$18</definedName>
    <definedName name="solver_lhs3" localSheetId="1" hidden="1">'Security Alarm (Shortest Route)'!$L$7:$L$16</definedName>
    <definedName name="solver_lin" localSheetId="2" hidden="1">1</definedName>
    <definedName name="solver_lin" localSheetId="1" hidden="1">1</definedName>
    <definedName name="solver_lva" localSheetId="1" hidden="1">2</definedName>
    <definedName name="solver_mip" localSheetId="2" hidden="1">2147483647</definedName>
    <definedName name="solver_mip" localSheetId="1" hidden="1">1000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neg" localSheetId="2" hidden="1">1</definedName>
    <definedName name="solver_neg" localSheetId="1" hidden="1">2</definedName>
    <definedName name="solver_nod" localSheetId="2" hidden="1">2147483647</definedName>
    <definedName name="solver_nod" localSheetId="1" hidden="1">1000</definedName>
    <definedName name="solver_num" localSheetId="2" hidden="1">3</definedName>
    <definedName name="solver_num" localSheetId="1" hidden="1">2</definedName>
    <definedName name="solver_nwt" localSheetId="1" hidden="1">1</definedName>
    <definedName name="solver_ofx" localSheetId="1" hidden="1">2</definedName>
    <definedName name="solver_opt" localSheetId="2" hidden="1">'Maximum Flow'!$H$32</definedName>
    <definedName name="solver_opt" localSheetId="1" hidden="1">'Security Alarm (Shortest Route)'!$G$26</definedName>
    <definedName name="solver_piv" localSheetId="1" hidden="1">0.000001</definedName>
    <definedName name="solver_pre" localSheetId="2" hidden="1">0.000001</definedName>
    <definedName name="solver_pre" localSheetId="1" hidden="1">0.00000001</definedName>
    <definedName name="solver_pro" localSheetId="1" hidden="1">2</definedName>
    <definedName name="solver_rbv" localSheetId="2" hidden="1">1</definedName>
    <definedName name="solver_rbv" localSheetId="1" hidden="1">1</definedName>
    <definedName name="solver_red" localSheetId="1" hidden="1">0.000001</definedName>
    <definedName name="solver_rel1" localSheetId="2" hidden="1">1</definedName>
    <definedName name="solver_rel1" localSheetId="1" hidden="1">2</definedName>
    <definedName name="solver_rel2" localSheetId="2" hidden="1">3</definedName>
    <definedName name="solver_rel2" localSheetId="1" hidden="1">3</definedName>
    <definedName name="solver_rel3" localSheetId="2" hidden="1">1</definedName>
    <definedName name="solver_rel3" localSheetId="1" hidden="1">2</definedName>
    <definedName name="solver_reo" localSheetId="1" hidden="1">2</definedName>
    <definedName name="solver_rep" localSheetId="1" hidden="1">2</definedName>
    <definedName name="solver_rhs1" localSheetId="2" hidden="1">'Maximum Flow'!$H$7:$H$28</definedName>
    <definedName name="solver_rhs1" localSheetId="1" hidden="1">'Security Alarm (Shortest Route)'!$M$7:$M$16</definedName>
    <definedName name="solver_rhs2" localSheetId="2" hidden="1">0</definedName>
    <definedName name="solver_rhs2" localSheetId="1" hidden="1">0</definedName>
    <definedName name="solver_rhs3" localSheetId="2" hidden="1">'Maximum Flow'!$M$7:$M$18</definedName>
    <definedName name="solver_rhs3" localSheetId="1" hidden="1">'Security Alarm (Shortest Route)'!$M$7:$M$16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std" localSheetId="1" hidden="1">0</definedName>
    <definedName name="solver_tim" localSheetId="2" hidden="1">2147483647</definedName>
    <definedName name="solver_tim" localSheetId="1" hidden="1">100</definedName>
    <definedName name="solver_tol" localSheetId="2" hidden="1">0.01</definedName>
    <definedName name="solver_tol" localSheetId="1" hidden="1">0.05</definedName>
    <definedName name="solver_typ" localSheetId="2" hidden="1">1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9" l="1"/>
  <c r="L8" i="9"/>
  <c r="L9" i="9"/>
  <c r="L10" i="9"/>
  <c r="L11" i="9"/>
  <c r="L12" i="9"/>
  <c r="L13" i="9"/>
  <c r="L14" i="9"/>
  <c r="L15" i="9"/>
  <c r="L16" i="9"/>
  <c r="L17" i="9"/>
  <c r="L18" i="9"/>
  <c r="L7" i="9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7" i="2"/>
  <c r="G26" i="2" l="1"/>
  <c r="L16" i="2"/>
  <c r="L15" i="2"/>
  <c r="L14" i="2"/>
  <c r="L13" i="2"/>
  <c r="L12" i="2"/>
  <c r="L11" i="2"/>
  <c r="L10" i="2"/>
  <c r="L9" i="2"/>
  <c r="L8" i="2"/>
  <c r="L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7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7" authorId="0" shapeId="0" xr:uid="{00000000-0006-0000-0100-000002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8" authorId="0" shapeId="0" xr:uid="{00000000-0006-0000-01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8" authorId="0" shapeId="0" xr:uid="{00000000-0006-0000-0100-000004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9" authorId="0" shapeId="0" xr:uid="{00000000-0006-0000-0100-00000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9" authorId="0" shapeId="0" xr:uid="{00000000-0006-0000-0100-000006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0" authorId="0" shapeId="0" xr:uid="{00000000-0006-0000-0100-00000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0" authorId="0" shapeId="0" xr:uid="{00000000-0006-0000-01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 xr:uid="{00000000-0006-0000-0100-00000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1" authorId="0" shapeId="0" xr:uid="{00000000-0006-0000-0100-00000A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2" authorId="0" shapeId="0" xr:uid="{00000000-0006-0000-0100-00000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2" authorId="0" shapeId="0" xr:uid="{00000000-0006-0000-0100-00000C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3" authorId="0" shapeId="0" xr:uid="{00000000-0006-0000-0100-00000D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3" authorId="0" shapeId="0" xr:uid="{00000000-0006-0000-0100-00000E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4" authorId="0" shapeId="0" xr:uid="{00000000-0006-0000-0100-00000F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4" authorId="0" shapeId="0" xr:uid="{00000000-0006-0000-0100-000010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5" authorId="0" shapeId="0" xr:uid="{00000000-0006-0000-0100-00001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5" authorId="0" shapeId="0" xr:uid="{00000000-0006-0000-0100-000012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6" authorId="0" shapeId="0" xr:uid="{00000000-0006-0000-0100-00001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L16" authorId="0" shapeId="0" xr:uid="{00000000-0006-0000-0100-000014000000}">
      <text>
        <r>
          <rPr>
            <sz val="8"/>
            <color rgb="FF000000"/>
            <rFont val="Tahoma"/>
            <family val="2"/>
          </rPr>
          <t>Constraint cell</t>
        </r>
      </text>
    </comment>
    <comment ref="B17" authorId="0" shapeId="0" xr:uid="{00000000-0006-0000-0100-000015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8" authorId="0" shapeId="0" xr:uid="{00000000-0006-0000-0100-000016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19" authorId="0" shapeId="0" xr:uid="{00000000-0006-0000-0100-000017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0" authorId="0" shapeId="0" xr:uid="{00000000-0006-0000-0100-000018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1" authorId="0" shapeId="0" xr:uid="{00000000-0006-0000-0100-000019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2" authorId="0" shapeId="0" xr:uid="{00000000-0006-0000-0100-00001A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3" authorId="0" shapeId="0" xr:uid="{00000000-0006-0000-0100-00001B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B24" authorId="0" shapeId="0" xr:uid="{00000000-0006-0000-0100-00001C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G26" authorId="0" shapeId="0" xr:uid="{00000000-0006-0000-0100-00001D000000}">
      <text>
        <r>
          <rPr>
            <sz val="8"/>
            <color rgb="FF000000"/>
            <rFont val="Tahoma"/>
            <family val="2"/>
          </rPr>
          <t>Set cell</t>
        </r>
      </text>
    </comment>
  </commentList>
</comments>
</file>

<file path=xl/sharedStrings.xml><?xml version="1.0" encoding="utf-8"?>
<sst xmlns="http://schemas.openxmlformats.org/spreadsheetml/2006/main" count="84" uniqueCount="40">
  <si>
    <t>Select</t>
  </si>
  <si>
    <t>Route?</t>
  </si>
  <si>
    <t xml:space="preserve">  From</t>
  </si>
  <si>
    <t xml:space="preserve">  To</t>
  </si>
  <si>
    <t xml:space="preserve">  Nodes</t>
  </si>
  <si>
    <t>Net Flow</t>
  </si>
  <si>
    <t>Supply/Demand</t>
  </si>
  <si>
    <t xml:space="preserve">Total </t>
  </si>
  <si>
    <t>A</t>
  </si>
  <si>
    <t>B</t>
  </si>
  <si>
    <t>C</t>
  </si>
  <si>
    <t>D</t>
  </si>
  <si>
    <t>E</t>
  </si>
  <si>
    <t>F</t>
  </si>
  <si>
    <t>G</t>
  </si>
  <si>
    <t>Distance</t>
  </si>
  <si>
    <t>H</t>
  </si>
  <si>
    <t>J</t>
  </si>
  <si>
    <t>I</t>
  </si>
  <si>
    <t>SHORTEST  ROUTE Problem</t>
  </si>
  <si>
    <t>Unit</t>
    <phoneticPr fontId="11" type="noConversion"/>
  </si>
  <si>
    <t xml:space="preserve">     From</t>
    <phoneticPr fontId="11" type="noConversion"/>
  </si>
  <si>
    <t>To</t>
    <phoneticPr fontId="11" type="noConversion"/>
  </si>
  <si>
    <t>A</t>
    <phoneticPr fontId="11" type="noConversion"/>
  </si>
  <si>
    <t>B</t>
    <phoneticPr fontId="11" type="noConversion"/>
  </si>
  <si>
    <t>D</t>
    <phoneticPr fontId="11" type="noConversion"/>
  </si>
  <si>
    <t>C</t>
    <phoneticPr fontId="11" type="noConversion"/>
  </si>
  <si>
    <t>E</t>
    <phoneticPr fontId="11" type="noConversion"/>
  </si>
  <si>
    <t>F</t>
    <phoneticPr fontId="11" type="noConversion"/>
  </si>
  <si>
    <t>H</t>
    <phoneticPr fontId="11" type="noConversion"/>
  </si>
  <si>
    <t>G</t>
    <phoneticPr fontId="11" type="noConversion"/>
  </si>
  <si>
    <t>I</t>
    <phoneticPr fontId="11" type="noConversion"/>
  </si>
  <si>
    <t>J</t>
    <phoneticPr fontId="11" type="noConversion"/>
  </si>
  <si>
    <t>K</t>
    <phoneticPr fontId="11" type="noConversion"/>
  </si>
  <si>
    <t>L</t>
    <phoneticPr fontId="11" type="noConversion"/>
  </si>
  <si>
    <t>Max flow</t>
    <phoneticPr fontId="11" type="noConversion"/>
  </si>
  <si>
    <t>Nodes</t>
    <phoneticPr fontId="11" type="noConversion"/>
  </si>
  <si>
    <t>Max</t>
    <phoneticPr fontId="11" type="noConversion"/>
  </si>
  <si>
    <t>Net flow</t>
    <phoneticPr fontId="11" type="noConversion"/>
  </si>
  <si>
    <t>Supply/Demand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</si>
</sst>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0.0"/>
    <numFmt numFmtId="180" formatCode="#,##0.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8"/>
      <color rgb="FF000000"/>
      <name val="Tahoma"/>
      <family val="2"/>
    </font>
    <font>
      <sz val="9"/>
      <name val="FangSong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/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3" fillId="0" borderId="2" xfId="0" applyFont="1" applyBorder="1" applyAlignment="1">
      <alignment horizontal="center"/>
    </xf>
    <xf numFmtId="17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79" fontId="1" fillId="0" borderId="1" xfId="0" applyNumberFormat="1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179" fontId="5" fillId="2" borderId="3" xfId="0" applyNumberFormat="1" applyFont="1" applyFill="1" applyBorder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80" fontId="7" fillId="2" borderId="5" xfId="0" applyNumberFormat="1" applyFont="1" applyFill="1" applyBorder="1" applyAlignment="1">
      <alignment horizontal="center"/>
    </xf>
    <xf numFmtId="179" fontId="5" fillId="2" borderId="6" xfId="0" applyNumberFormat="1" applyFont="1" applyFill="1" applyBorder="1" applyAlignment="1">
      <alignment horizontal="center"/>
    </xf>
    <xf numFmtId="0" fontId="0" fillId="0" borderId="2" xfId="0" applyBorder="1"/>
    <xf numFmtId="0" fontId="8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" fillId="3" borderId="0" xfId="0" applyFont="1" applyFill="1"/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198120</xdr:colOff>
      <xdr:row>0</xdr:row>
      <xdr:rowOff>152400</xdr:rowOff>
    </xdr:from>
    <xdr:to>
      <xdr:col>10</xdr:col>
      <xdr:colOff>369570</xdr:colOff>
      <xdr:row>2</xdr:row>
      <xdr:rowOff>159991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 noChangeArrowheads="1"/>
        </xdr:cNvSpPr>
      </xdr:nvSpPr>
      <xdr:spPr bwMode="auto">
        <a:xfrm>
          <a:off x="2333625" y="152400"/>
          <a:ext cx="3019425" cy="32385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Security Alarm Company</a:t>
          </a:r>
        </a:p>
      </xdr:txBody>
    </xdr:sp>
    <xdr:clientData/>
  </xdr:twoCellAnchor>
  <xdr:twoCellAnchor>
    <xdr:from>
      <xdr:col>8</xdr:col>
      <xdr:colOff>391372</xdr:colOff>
      <xdr:row>17</xdr:row>
      <xdr:rowOff>84667</xdr:rowOff>
    </xdr:from>
    <xdr:to>
      <xdr:col>12</xdr:col>
      <xdr:colOff>503140</xdr:colOff>
      <xdr:row>22</xdr:row>
      <xdr:rowOff>27516</xdr:rowOff>
    </xdr:to>
    <xdr:sp macro="" textlink="">
      <xdr:nvSpPr>
        <xdr:cNvPr id="1027" name="Note" hidden="1">
          <a:extLs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 txBox="1">
          <a:spLocks noChangeArrowheads="1"/>
        </xdr:cNvSpPr>
      </xdr:nvSpPr>
      <xdr:spPr bwMode="auto">
        <a:xfrm>
          <a:off x="4819439" y="3081867"/>
          <a:ext cx="2431634" cy="789516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G26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B7:B24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L7:L16=M7:M1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B7:B24&gt;=0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    </a:t>
          </a:r>
        </a:p>
        <a:p>
          <a:pPr algn="l" rtl="0">
            <a:defRPr sz="1000"/>
          </a:pPr>
          <a:endParaRPr lang="en-AU" sz="1000" b="0" i="0" strike="noStrike">
            <a:solidFill>
              <a:srgbClr val="000000"/>
            </a:solidFill>
            <a:latin typeface="Fixedsys"/>
          </a:endParaRPr>
        </a:p>
      </xdr:txBody>
    </xdr:sp>
    <xdr:clientData/>
  </xdr:twoCellAnchor>
  <xdr:twoCellAnchor editAs="oneCell">
    <xdr:from>
      <xdr:col>8</xdr:col>
      <xdr:colOff>105834</xdr:colOff>
      <xdr:row>17</xdr:row>
      <xdr:rowOff>67348</xdr:rowOff>
    </xdr:from>
    <xdr:to>
      <xdr:col>15</xdr:col>
      <xdr:colOff>516861</xdr:colOff>
      <xdr:row>33</xdr:row>
      <xdr:rowOff>21189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7A56A479-9DD3-4501-7016-99B3CE789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23392" y="2961767"/>
          <a:ext cx="5520562" cy="26267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779319</xdr:colOff>
      <xdr:row>19</xdr:row>
      <xdr:rowOff>72159</xdr:rowOff>
    </xdr:from>
    <xdr:to>
      <xdr:col>18</xdr:col>
      <xdr:colOff>65809</xdr:colOff>
      <xdr:row>62</xdr:row>
      <xdr:rowOff>73277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94C1EDD-D92F-2079-500A-0BC328639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5114" y="3088409"/>
          <a:ext cx="7772400" cy="68273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7"/>
  <sheetViews>
    <sheetView tabSelected="1" zoomScale="109" workbookViewId="0">
      <selection activeCell="Q24" sqref="Q24"/>
    </sheetView>
  </sheetViews>
  <sheetFormatPr baseColWidth="10" defaultColWidth="8.83203125" defaultRowHeight="13" x14ac:dyDescent="0.15"/>
  <cols>
    <col min="1" max="1" width="5.5" customWidth="1"/>
    <col min="2" max="2" width="7.5" customWidth="1"/>
    <col min="3" max="3" width="3.5" style="1" customWidth="1"/>
    <col min="4" max="4" width="12.5" customWidth="1"/>
    <col min="5" max="5" width="3.1640625" style="1" customWidth="1"/>
    <col min="6" max="6" width="14.5" customWidth="1"/>
    <col min="7" max="8" width="9" style="1" customWidth="1"/>
    <col min="9" max="9" width="7" customWidth="1"/>
    <col min="10" max="10" width="3.33203125" style="2" customWidth="1"/>
    <col min="11" max="11" width="14.5" customWidth="1"/>
    <col min="12" max="12" width="9" customWidth="1"/>
    <col min="13" max="13" width="15.5" style="1" customWidth="1"/>
  </cols>
  <sheetData>
    <row r="1" spans="1:13" ht="21.75" customHeight="1" x14ac:dyDescent="0.2">
      <c r="A1" s="27" t="s">
        <v>19</v>
      </c>
      <c r="B1" s="27"/>
      <c r="C1" s="27"/>
      <c r="D1" s="27"/>
      <c r="E1" s="27"/>
    </row>
    <row r="2" spans="1:13" x14ac:dyDescent="0.15">
      <c r="G2"/>
    </row>
    <row r="5" spans="1:13" x14ac:dyDescent="0.15">
      <c r="B5" s="2" t="s">
        <v>0</v>
      </c>
      <c r="G5" s="2"/>
      <c r="H5" s="2"/>
    </row>
    <row r="6" spans="1:13" ht="14" thickBot="1" x14ac:dyDescent="0.2">
      <c r="B6" s="3" t="s">
        <v>1</v>
      </c>
      <c r="C6" s="5" t="s">
        <v>2</v>
      </c>
      <c r="D6" s="5"/>
      <c r="E6" s="5" t="s">
        <v>3</v>
      </c>
      <c r="F6" s="4"/>
      <c r="G6" s="26" t="s">
        <v>15</v>
      </c>
      <c r="H6" s="3"/>
      <c r="J6" s="3" t="s">
        <v>4</v>
      </c>
      <c r="K6" s="7"/>
      <c r="L6" s="3" t="s">
        <v>5</v>
      </c>
      <c r="M6" s="3" t="s">
        <v>6</v>
      </c>
    </row>
    <row r="7" spans="1:13" x14ac:dyDescent="0.15">
      <c r="B7" s="19">
        <v>0</v>
      </c>
      <c r="C7" s="2">
        <v>1</v>
      </c>
      <c r="D7" s="17" t="str">
        <f>VLOOKUP(C7,$J$7:$K$16,2,0)</f>
        <v>A</v>
      </c>
      <c r="E7" s="2">
        <v>2</v>
      </c>
      <c r="F7" s="17" t="str">
        <f>VLOOKUP(E7,$J$7:$K$16,2,0)</f>
        <v>B</v>
      </c>
      <c r="G7" s="13">
        <v>60</v>
      </c>
      <c r="H7" s="14"/>
      <c r="J7" s="2">
        <v>1</v>
      </c>
      <c r="K7" s="24" t="s">
        <v>8</v>
      </c>
      <c r="L7" s="20">
        <f t="shared" ref="L7:L16" si="0">SUMIF($E$7:$E$24,J7,$B$7:$B$24)-SUMIF($C$7:$C$24,J7,$B$7:$B$24)</f>
        <v>-1</v>
      </c>
      <c r="M7" s="2">
        <v>-1</v>
      </c>
    </row>
    <row r="8" spans="1:13" x14ac:dyDescent="0.15">
      <c r="B8" s="19">
        <v>1</v>
      </c>
      <c r="C8" s="2">
        <v>1</v>
      </c>
      <c r="D8" s="17" t="str">
        <f t="shared" ref="D8:D24" si="1">VLOOKUP(C8,$J$7:$K$16,2,0)</f>
        <v>A</v>
      </c>
      <c r="E8" s="2">
        <v>3</v>
      </c>
      <c r="F8" s="17" t="str">
        <f t="shared" ref="F8:F24" si="2">VLOOKUP(E8,$J$7:$K$16,2,0)</f>
        <v>C</v>
      </c>
      <c r="G8" s="13">
        <v>55</v>
      </c>
      <c r="H8" s="14"/>
      <c r="J8" s="2">
        <v>2</v>
      </c>
      <c r="K8" s="24" t="s">
        <v>9</v>
      </c>
      <c r="L8" s="20">
        <f t="shared" si="0"/>
        <v>0</v>
      </c>
      <c r="M8" s="2">
        <v>0</v>
      </c>
    </row>
    <row r="9" spans="1:13" x14ac:dyDescent="0.15">
      <c r="B9" s="19">
        <v>0</v>
      </c>
      <c r="C9" s="2">
        <v>2</v>
      </c>
      <c r="D9" s="17" t="str">
        <f t="shared" si="1"/>
        <v>B</v>
      </c>
      <c r="E9" s="2">
        <v>3</v>
      </c>
      <c r="F9" s="17" t="str">
        <f t="shared" si="2"/>
        <v>C</v>
      </c>
      <c r="G9" s="13">
        <v>75</v>
      </c>
      <c r="H9" s="14"/>
      <c r="J9" s="2">
        <v>3</v>
      </c>
      <c r="K9" s="24" t="s">
        <v>10</v>
      </c>
      <c r="L9" s="20">
        <f t="shared" si="0"/>
        <v>0</v>
      </c>
      <c r="M9" s="2">
        <v>0</v>
      </c>
    </row>
    <row r="10" spans="1:13" x14ac:dyDescent="0.15">
      <c r="B10" s="19">
        <v>0</v>
      </c>
      <c r="C10" s="2">
        <v>2</v>
      </c>
      <c r="D10" s="17" t="str">
        <f t="shared" si="1"/>
        <v>B</v>
      </c>
      <c r="E10" s="2">
        <v>4</v>
      </c>
      <c r="F10" s="17" t="str">
        <f t="shared" si="2"/>
        <v>D</v>
      </c>
      <c r="G10" s="13">
        <v>80</v>
      </c>
      <c r="H10" s="14"/>
      <c r="J10" s="2">
        <v>4</v>
      </c>
      <c r="K10" s="24" t="s">
        <v>11</v>
      </c>
      <c r="L10" s="20">
        <f t="shared" si="0"/>
        <v>0</v>
      </c>
      <c r="M10" s="2">
        <v>0</v>
      </c>
    </row>
    <row r="11" spans="1:13" x14ac:dyDescent="0.15">
      <c r="B11" s="19">
        <v>0</v>
      </c>
      <c r="C11" s="2">
        <v>2</v>
      </c>
      <c r="D11" s="17" t="str">
        <f t="shared" si="1"/>
        <v>B</v>
      </c>
      <c r="E11" s="2">
        <v>5</v>
      </c>
      <c r="F11" s="17" t="str">
        <f t="shared" si="2"/>
        <v>E</v>
      </c>
      <c r="G11" s="13">
        <v>70</v>
      </c>
      <c r="H11" s="14"/>
      <c r="J11" s="2">
        <v>5</v>
      </c>
      <c r="K11" s="24" t="s">
        <v>12</v>
      </c>
      <c r="L11" s="20">
        <f t="shared" si="0"/>
        <v>0</v>
      </c>
      <c r="M11" s="2">
        <v>0</v>
      </c>
    </row>
    <row r="12" spans="1:13" x14ac:dyDescent="0.15">
      <c r="B12" s="19">
        <v>0</v>
      </c>
      <c r="C12" s="2">
        <v>3</v>
      </c>
      <c r="D12" s="17" t="str">
        <f t="shared" si="1"/>
        <v>C</v>
      </c>
      <c r="E12" s="2">
        <v>5</v>
      </c>
      <c r="F12" s="17" t="str">
        <f t="shared" si="2"/>
        <v>E</v>
      </c>
      <c r="G12" s="13">
        <v>95</v>
      </c>
      <c r="H12" s="14"/>
      <c r="J12" s="2">
        <v>6</v>
      </c>
      <c r="K12" s="24" t="s">
        <v>13</v>
      </c>
      <c r="L12" s="20">
        <f t="shared" si="0"/>
        <v>0</v>
      </c>
      <c r="M12" s="2">
        <v>0</v>
      </c>
    </row>
    <row r="13" spans="1:13" x14ac:dyDescent="0.15">
      <c r="B13" s="19">
        <v>1</v>
      </c>
      <c r="C13" s="2">
        <v>3</v>
      </c>
      <c r="D13" s="17" t="str">
        <f t="shared" si="1"/>
        <v>C</v>
      </c>
      <c r="E13" s="2">
        <v>6</v>
      </c>
      <c r="F13" s="17" t="str">
        <f t="shared" si="2"/>
        <v>F</v>
      </c>
      <c r="G13" s="13">
        <v>65</v>
      </c>
      <c r="H13" s="14"/>
      <c r="J13" s="2">
        <v>7</v>
      </c>
      <c r="K13" s="24" t="s">
        <v>14</v>
      </c>
      <c r="L13" s="20">
        <f t="shared" si="0"/>
        <v>0</v>
      </c>
      <c r="M13" s="2">
        <v>0</v>
      </c>
    </row>
    <row r="14" spans="1:13" x14ac:dyDescent="0.15">
      <c r="B14" s="19">
        <v>0</v>
      </c>
      <c r="C14" s="2">
        <v>4</v>
      </c>
      <c r="D14" s="17" t="str">
        <f t="shared" si="1"/>
        <v>D</v>
      </c>
      <c r="E14" s="2">
        <v>5</v>
      </c>
      <c r="F14" s="17" t="str">
        <f t="shared" si="2"/>
        <v>E</v>
      </c>
      <c r="G14" s="13">
        <v>60</v>
      </c>
      <c r="H14" s="14"/>
      <c r="J14" s="2">
        <v>8</v>
      </c>
      <c r="K14" s="24" t="s">
        <v>16</v>
      </c>
      <c r="L14" s="20">
        <f t="shared" si="0"/>
        <v>0</v>
      </c>
      <c r="M14" s="2">
        <v>0</v>
      </c>
    </row>
    <row r="15" spans="1:13" x14ac:dyDescent="0.15">
      <c r="B15" s="19">
        <v>0</v>
      </c>
      <c r="C15" s="2">
        <v>4</v>
      </c>
      <c r="D15" s="17" t="str">
        <f t="shared" si="1"/>
        <v>D</v>
      </c>
      <c r="E15" s="2">
        <v>7</v>
      </c>
      <c r="F15" s="17" t="str">
        <f t="shared" si="2"/>
        <v>G</v>
      </c>
      <c r="G15" s="13">
        <v>85</v>
      </c>
      <c r="H15" s="14"/>
      <c r="J15" s="2">
        <v>9</v>
      </c>
      <c r="K15" s="24" t="s">
        <v>17</v>
      </c>
      <c r="L15" s="20">
        <f t="shared" si="0"/>
        <v>0</v>
      </c>
      <c r="M15" s="2">
        <v>0</v>
      </c>
    </row>
    <row r="16" spans="1:13" ht="14" thickBot="1" x14ac:dyDescent="0.2">
      <c r="B16" s="19">
        <v>0</v>
      </c>
      <c r="C16" s="2">
        <v>4</v>
      </c>
      <c r="D16" s="17" t="str">
        <f t="shared" si="1"/>
        <v>D</v>
      </c>
      <c r="E16" s="2">
        <v>8</v>
      </c>
      <c r="F16" s="17" t="str">
        <f t="shared" si="2"/>
        <v>H</v>
      </c>
      <c r="G16" s="13">
        <v>90</v>
      </c>
      <c r="H16" s="14"/>
      <c r="J16" s="3">
        <v>10</v>
      </c>
      <c r="K16" s="25" t="s">
        <v>18</v>
      </c>
      <c r="L16" s="20">
        <f t="shared" si="0"/>
        <v>1</v>
      </c>
      <c r="M16" s="3">
        <v>1</v>
      </c>
    </row>
    <row r="17" spans="2:13" x14ac:dyDescent="0.15">
      <c r="B17" s="19">
        <v>0</v>
      </c>
      <c r="C17" s="2">
        <v>5</v>
      </c>
      <c r="D17" s="17" t="str">
        <f t="shared" si="1"/>
        <v>E</v>
      </c>
      <c r="E17" s="2">
        <v>6</v>
      </c>
      <c r="F17" s="17" t="str">
        <f t="shared" si="2"/>
        <v>F</v>
      </c>
      <c r="G17" s="13">
        <v>75</v>
      </c>
      <c r="H17" s="14"/>
      <c r="J17" s="10"/>
      <c r="K17" s="11"/>
      <c r="L17" s="12"/>
      <c r="M17" s="10"/>
    </row>
    <row r="18" spans="2:13" x14ac:dyDescent="0.15">
      <c r="B18" s="19">
        <v>0</v>
      </c>
      <c r="C18" s="2">
        <v>5</v>
      </c>
      <c r="D18" s="17" t="str">
        <f t="shared" si="1"/>
        <v>E</v>
      </c>
      <c r="E18" s="2">
        <v>7</v>
      </c>
      <c r="F18" s="17" t="str">
        <f t="shared" si="2"/>
        <v>G</v>
      </c>
      <c r="G18" s="13">
        <v>90</v>
      </c>
      <c r="H18" s="14"/>
      <c r="J18"/>
      <c r="M18"/>
    </row>
    <row r="19" spans="2:13" x14ac:dyDescent="0.15">
      <c r="B19" s="19">
        <v>0</v>
      </c>
      <c r="C19" s="2">
        <v>6</v>
      </c>
      <c r="D19" s="17" t="str">
        <f t="shared" si="1"/>
        <v>F</v>
      </c>
      <c r="E19" s="2">
        <v>9</v>
      </c>
      <c r="F19" s="17" t="str">
        <f t="shared" si="2"/>
        <v>J</v>
      </c>
      <c r="G19" s="13">
        <v>80</v>
      </c>
      <c r="H19" s="14"/>
      <c r="K19" s="9"/>
      <c r="L19" s="8"/>
      <c r="M19" s="2"/>
    </row>
    <row r="20" spans="2:13" x14ac:dyDescent="0.15">
      <c r="B20" s="19">
        <v>1</v>
      </c>
      <c r="C20" s="2">
        <v>6</v>
      </c>
      <c r="D20" s="17" t="str">
        <f t="shared" si="1"/>
        <v>F</v>
      </c>
      <c r="E20" s="2">
        <v>10</v>
      </c>
      <c r="F20" s="17" t="str">
        <f t="shared" si="2"/>
        <v>I</v>
      </c>
      <c r="G20" s="13">
        <v>120</v>
      </c>
      <c r="H20" s="14"/>
      <c r="K20" s="9"/>
      <c r="L20" s="8"/>
      <c r="M20" s="2"/>
    </row>
    <row r="21" spans="2:13" x14ac:dyDescent="0.15">
      <c r="B21" s="19">
        <v>0</v>
      </c>
      <c r="C21" s="2">
        <v>7</v>
      </c>
      <c r="D21" s="17" t="str">
        <f t="shared" si="1"/>
        <v>G</v>
      </c>
      <c r="E21" s="2">
        <v>8</v>
      </c>
      <c r="F21" s="17" t="str">
        <f t="shared" si="2"/>
        <v>H</v>
      </c>
      <c r="G21" s="13">
        <v>60</v>
      </c>
      <c r="H21" s="14"/>
    </row>
    <row r="22" spans="2:13" x14ac:dyDescent="0.15">
      <c r="B22" s="19">
        <v>0</v>
      </c>
      <c r="C22" s="2">
        <v>7</v>
      </c>
      <c r="D22" s="17" t="str">
        <f t="shared" si="1"/>
        <v>G</v>
      </c>
      <c r="E22" s="2">
        <v>10</v>
      </c>
      <c r="F22" s="17" t="str">
        <f t="shared" si="2"/>
        <v>I</v>
      </c>
      <c r="G22" s="13">
        <v>70</v>
      </c>
      <c r="H22" s="14"/>
      <c r="J22"/>
      <c r="M22"/>
    </row>
    <row r="23" spans="2:13" x14ac:dyDescent="0.15">
      <c r="B23" s="19">
        <v>0</v>
      </c>
      <c r="C23" s="2">
        <v>8</v>
      </c>
      <c r="D23" s="17" t="str">
        <f t="shared" si="1"/>
        <v>H</v>
      </c>
      <c r="E23" s="2">
        <v>10</v>
      </c>
      <c r="F23" s="17" t="str">
        <f t="shared" si="2"/>
        <v>I</v>
      </c>
      <c r="G23" s="13">
        <v>50</v>
      </c>
      <c r="H23" s="14"/>
    </row>
    <row r="24" spans="2:13" ht="14" thickBot="1" x14ac:dyDescent="0.2">
      <c r="B24" s="22">
        <v>0</v>
      </c>
      <c r="C24" s="3">
        <v>9</v>
      </c>
      <c r="D24" s="18" t="str">
        <f t="shared" si="1"/>
        <v>J</v>
      </c>
      <c r="E24" s="3">
        <v>10</v>
      </c>
      <c r="F24" s="18" t="str">
        <f t="shared" si="2"/>
        <v>I</v>
      </c>
      <c r="G24" s="16">
        <v>45</v>
      </c>
      <c r="H24" s="15"/>
    </row>
    <row r="25" spans="2:13" ht="14" thickBot="1" x14ac:dyDescent="0.2">
      <c r="B25" s="23"/>
      <c r="C25"/>
      <c r="E25"/>
      <c r="G25"/>
      <c r="H25"/>
    </row>
    <row r="26" spans="2:13" ht="15" thickTop="1" thickBot="1" x14ac:dyDescent="0.2">
      <c r="F26" s="6" t="s">
        <v>7</v>
      </c>
      <c r="G26" s="21">
        <f>SUMPRODUCT(G7:G24,$B$7:$B$24)</f>
        <v>240</v>
      </c>
      <c r="H26"/>
      <c r="I26" s="2"/>
      <c r="J26"/>
      <c r="L26" s="1"/>
      <c r="M26"/>
    </row>
    <row r="27" spans="2:13" ht="14" thickTop="1" x14ac:dyDescent="0.15">
      <c r="G27"/>
      <c r="H27"/>
    </row>
  </sheetData>
  <mergeCells count="1">
    <mergeCell ref="A1:E1"/>
  </mergeCells>
  <phoneticPr fontId="0" type="noConversion"/>
  <pageMargins left="0.75" right="0.75" top="1" bottom="1" header="0.5" footer="0.5"/>
  <pageSetup scale="79"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5B06B-72CF-FA4F-8A76-36B095094C5A}">
  <dimension ref="C6:M32"/>
  <sheetViews>
    <sheetView zoomScale="90" workbookViewId="0">
      <selection activeCell="P15" sqref="P15"/>
    </sheetView>
  </sheetViews>
  <sheetFormatPr baseColWidth="10" defaultRowHeight="13" x14ac:dyDescent="0.15"/>
  <cols>
    <col min="4" max="4" width="4.1640625" customWidth="1"/>
    <col min="13" max="13" width="14.1640625" customWidth="1"/>
  </cols>
  <sheetData>
    <row r="6" spans="3:13" x14ac:dyDescent="0.15">
      <c r="C6" s="28" t="s">
        <v>20</v>
      </c>
      <c r="D6" s="28" t="s">
        <v>21</v>
      </c>
      <c r="E6" s="28"/>
      <c r="F6" s="28"/>
      <c r="G6" s="28" t="s">
        <v>22</v>
      </c>
      <c r="H6" s="28" t="s">
        <v>35</v>
      </c>
      <c r="K6" s="28" t="s">
        <v>36</v>
      </c>
      <c r="L6" s="28" t="s">
        <v>38</v>
      </c>
      <c r="M6" s="28" t="s">
        <v>39</v>
      </c>
    </row>
    <row r="7" spans="3:13" x14ac:dyDescent="0.15">
      <c r="C7">
        <v>4</v>
      </c>
      <c r="D7" s="17">
        <v>1</v>
      </c>
      <c r="E7" s="17" t="s">
        <v>23</v>
      </c>
      <c r="F7" s="17">
        <v>2</v>
      </c>
      <c r="G7" s="17" t="s">
        <v>24</v>
      </c>
      <c r="H7">
        <v>5</v>
      </c>
      <c r="J7">
        <v>1</v>
      </c>
      <c r="K7" s="17" t="s">
        <v>23</v>
      </c>
      <c r="L7" s="17">
        <f>SUMIF($F$7:$F$28,J7,$C$7:$C$28)-SUMIF($D$7:$D$28,J7,$C$7:$C$28)</f>
        <v>0</v>
      </c>
      <c r="M7">
        <v>0</v>
      </c>
    </row>
    <row r="8" spans="3:13" x14ac:dyDescent="0.15">
      <c r="C8">
        <v>4</v>
      </c>
      <c r="D8">
        <v>1</v>
      </c>
      <c r="E8" s="17" t="s">
        <v>23</v>
      </c>
      <c r="F8" s="17">
        <v>4</v>
      </c>
      <c r="G8" s="17" t="s">
        <v>25</v>
      </c>
      <c r="H8">
        <v>4</v>
      </c>
      <c r="J8">
        <v>2</v>
      </c>
      <c r="K8" s="17" t="s">
        <v>24</v>
      </c>
      <c r="L8" s="17">
        <f t="shared" ref="L8:L18" si="0">SUMIF($F$7:$F$28,J8,$C$7:$C$28)-SUMIF($D$7:$D$28,J8,$C$7:$C$28)</f>
        <v>0</v>
      </c>
      <c r="M8">
        <v>0</v>
      </c>
    </row>
    <row r="9" spans="3:13" x14ac:dyDescent="0.15">
      <c r="C9">
        <v>5</v>
      </c>
      <c r="D9">
        <v>1</v>
      </c>
      <c r="E9" s="17" t="s">
        <v>23</v>
      </c>
      <c r="F9" s="17">
        <v>3</v>
      </c>
      <c r="G9" s="17" t="s">
        <v>26</v>
      </c>
      <c r="H9">
        <v>5</v>
      </c>
      <c r="J9">
        <v>3</v>
      </c>
      <c r="K9" s="17" t="s">
        <v>26</v>
      </c>
      <c r="L9" s="17">
        <f t="shared" si="0"/>
        <v>0</v>
      </c>
      <c r="M9">
        <v>0</v>
      </c>
    </row>
    <row r="10" spans="3:13" x14ac:dyDescent="0.15">
      <c r="C10">
        <v>1</v>
      </c>
      <c r="D10">
        <v>1</v>
      </c>
      <c r="E10" s="17" t="s">
        <v>23</v>
      </c>
      <c r="F10" s="17">
        <v>5</v>
      </c>
      <c r="G10" s="17" t="s">
        <v>27</v>
      </c>
      <c r="H10">
        <v>6</v>
      </c>
      <c r="J10">
        <v>4</v>
      </c>
      <c r="K10" s="17" t="s">
        <v>25</v>
      </c>
      <c r="L10" s="17">
        <f t="shared" si="0"/>
        <v>0</v>
      </c>
      <c r="M10">
        <v>0</v>
      </c>
    </row>
    <row r="11" spans="3:13" x14ac:dyDescent="0.15">
      <c r="C11">
        <v>4</v>
      </c>
      <c r="D11">
        <v>2</v>
      </c>
      <c r="E11" s="17" t="s">
        <v>24</v>
      </c>
      <c r="F11" s="17">
        <v>4</v>
      </c>
      <c r="G11" s="17" t="s">
        <v>25</v>
      </c>
      <c r="H11">
        <v>4</v>
      </c>
      <c r="J11">
        <v>5</v>
      </c>
      <c r="K11" s="17" t="s">
        <v>27</v>
      </c>
      <c r="L11" s="17">
        <f t="shared" si="0"/>
        <v>0</v>
      </c>
      <c r="M11">
        <v>0</v>
      </c>
    </row>
    <row r="12" spans="3:13" x14ac:dyDescent="0.15">
      <c r="C12">
        <v>4</v>
      </c>
      <c r="D12">
        <v>3</v>
      </c>
      <c r="E12" s="17" t="s">
        <v>26</v>
      </c>
      <c r="F12" s="17">
        <v>7</v>
      </c>
      <c r="G12" s="17" t="s">
        <v>28</v>
      </c>
      <c r="H12">
        <v>4</v>
      </c>
      <c r="J12">
        <v>6</v>
      </c>
      <c r="K12" s="17" t="s">
        <v>28</v>
      </c>
      <c r="L12" s="17">
        <f t="shared" si="0"/>
        <v>0</v>
      </c>
      <c r="M12">
        <v>0</v>
      </c>
    </row>
    <row r="13" spans="3:13" x14ac:dyDescent="0.15">
      <c r="C13">
        <v>1</v>
      </c>
      <c r="D13">
        <v>3</v>
      </c>
      <c r="E13" s="17" t="s">
        <v>26</v>
      </c>
      <c r="F13" s="17">
        <v>5</v>
      </c>
      <c r="G13" s="17" t="s">
        <v>27</v>
      </c>
      <c r="H13">
        <v>5</v>
      </c>
      <c r="J13">
        <v>7</v>
      </c>
      <c r="K13" s="17" t="s">
        <v>30</v>
      </c>
      <c r="L13" s="17">
        <f t="shared" si="0"/>
        <v>0</v>
      </c>
      <c r="M13">
        <v>0</v>
      </c>
    </row>
    <row r="14" spans="3:13" x14ac:dyDescent="0.15">
      <c r="C14">
        <v>5</v>
      </c>
      <c r="D14">
        <v>4</v>
      </c>
      <c r="E14" s="17" t="s">
        <v>25</v>
      </c>
      <c r="F14" s="17">
        <v>6</v>
      </c>
      <c r="G14" s="17" t="s">
        <v>29</v>
      </c>
      <c r="H14">
        <v>6</v>
      </c>
      <c r="J14">
        <v>8</v>
      </c>
      <c r="K14" s="17" t="s">
        <v>29</v>
      </c>
      <c r="L14" s="17">
        <f t="shared" si="0"/>
        <v>0</v>
      </c>
      <c r="M14">
        <v>0</v>
      </c>
    </row>
    <row r="15" spans="3:13" x14ac:dyDescent="0.15">
      <c r="C15">
        <v>3</v>
      </c>
      <c r="D15">
        <v>4</v>
      </c>
      <c r="E15" s="17" t="s">
        <v>25</v>
      </c>
      <c r="F15" s="17">
        <v>7</v>
      </c>
      <c r="G15" s="17" t="s">
        <v>28</v>
      </c>
      <c r="H15">
        <v>3</v>
      </c>
      <c r="J15">
        <v>9</v>
      </c>
      <c r="K15" s="17" t="s">
        <v>31</v>
      </c>
      <c r="L15" s="17">
        <f t="shared" si="0"/>
        <v>0</v>
      </c>
      <c r="M15">
        <v>0</v>
      </c>
    </row>
    <row r="16" spans="3:13" x14ac:dyDescent="0.15">
      <c r="C16">
        <v>0</v>
      </c>
      <c r="D16">
        <v>5</v>
      </c>
      <c r="E16" s="17" t="s">
        <v>27</v>
      </c>
      <c r="F16" s="17">
        <v>8</v>
      </c>
      <c r="G16" s="17" t="s">
        <v>30</v>
      </c>
      <c r="H16">
        <v>2</v>
      </c>
      <c r="J16">
        <v>10</v>
      </c>
      <c r="K16" s="17" t="s">
        <v>32</v>
      </c>
      <c r="L16" s="17">
        <f t="shared" si="0"/>
        <v>0</v>
      </c>
      <c r="M16">
        <v>0</v>
      </c>
    </row>
    <row r="17" spans="3:13" x14ac:dyDescent="0.15">
      <c r="C17">
        <v>2</v>
      </c>
      <c r="D17">
        <v>5</v>
      </c>
      <c r="E17" s="17" t="s">
        <v>27</v>
      </c>
      <c r="F17" s="17">
        <v>10</v>
      </c>
      <c r="G17" s="17" t="s">
        <v>31</v>
      </c>
      <c r="H17">
        <v>3</v>
      </c>
      <c r="J17">
        <v>11</v>
      </c>
      <c r="K17" s="17" t="s">
        <v>33</v>
      </c>
      <c r="L17" s="17">
        <f t="shared" si="0"/>
        <v>0</v>
      </c>
      <c r="M17">
        <v>0</v>
      </c>
    </row>
    <row r="18" spans="3:13" x14ac:dyDescent="0.15">
      <c r="C18">
        <v>3</v>
      </c>
      <c r="D18">
        <v>6</v>
      </c>
      <c r="E18" s="17" t="s">
        <v>29</v>
      </c>
      <c r="F18" s="17">
        <v>7</v>
      </c>
      <c r="G18" s="17" t="s">
        <v>28</v>
      </c>
      <c r="H18">
        <v>3</v>
      </c>
      <c r="J18">
        <v>12</v>
      </c>
      <c r="K18" s="17" t="s">
        <v>34</v>
      </c>
      <c r="L18" s="17">
        <f t="shared" si="0"/>
        <v>0</v>
      </c>
      <c r="M18">
        <v>0</v>
      </c>
    </row>
    <row r="19" spans="3:13" x14ac:dyDescent="0.15">
      <c r="C19">
        <v>2</v>
      </c>
      <c r="D19">
        <v>6</v>
      </c>
      <c r="E19" s="17" t="s">
        <v>29</v>
      </c>
      <c r="F19" s="17">
        <v>9</v>
      </c>
      <c r="G19" s="17" t="s">
        <v>32</v>
      </c>
      <c r="H19">
        <v>2</v>
      </c>
    </row>
    <row r="20" spans="3:13" x14ac:dyDescent="0.15">
      <c r="C20">
        <v>4</v>
      </c>
      <c r="D20">
        <v>7</v>
      </c>
      <c r="E20" s="17" t="s">
        <v>28</v>
      </c>
      <c r="F20" s="17">
        <v>8</v>
      </c>
      <c r="G20" s="17" t="s">
        <v>30</v>
      </c>
      <c r="H20">
        <v>5</v>
      </c>
    </row>
    <row r="21" spans="3:13" x14ac:dyDescent="0.15">
      <c r="C21">
        <v>6</v>
      </c>
      <c r="D21">
        <v>7</v>
      </c>
      <c r="E21" s="17" t="s">
        <v>28</v>
      </c>
      <c r="F21" s="17">
        <v>10</v>
      </c>
      <c r="G21" s="17" t="s">
        <v>31</v>
      </c>
      <c r="H21">
        <v>6</v>
      </c>
    </row>
    <row r="22" spans="3:13" x14ac:dyDescent="0.15">
      <c r="C22">
        <v>4</v>
      </c>
      <c r="D22">
        <v>8</v>
      </c>
      <c r="E22" s="17" t="s">
        <v>30</v>
      </c>
      <c r="F22" s="17">
        <v>10</v>
      </c>
      <c r="G22" s="17" t="s">
        <v>31</v>
      </c>
      <c r="H22">
        <v>4</v>
      </c>
    </row>
    <row r="23" spans="3:13" x14ac:dyDescent="0.15">
      <c r="C23">
        <v>0</v>
      </c>
      <c r="D23">
        <v>9</v>
      </c>
      <c r="E23" s="17" t="s">
        <v>32</v>
      </c>
      <c r="F23" s="17">
        <v>11</v>
      </c>
      <c r="G23" s="17" t="s">
        <v>33</v>
      </c>
      <c r="H23">
        <v>3</v>
      </c>
    </row>
    <row r="24" spans="3:13" x14ac:dyDescent="0.15">
      <c r="C24">
        <v>5</v>
      </c>
      <c r="D24">
        <v>9</v>
      </c>
      <c r="E24" s="17" t="s">
        <v>32</v>
      </c>
      <c r="F24" s="17">
        <v>12</v>
      </c>
      <c r="G24" s="17" t="s">
        <v>34</v>
      </c>
      <c r="H24">
        <v>7</v>
      </c>
    </row>
    <row r="25" spans="3:13" x14ac:dyDescent="0.15">
      <c r="C25">
        <v>3</v>
      </c>
      <c r="D25">
        <v>10</v>
      </c>
      <c r="E25" s="17" t="s">
        <v>31</v>
      </c>
      <c r="F25" s="17">
        <v>9</v>
      </c>
      <c r="G25" s="17" t="s">
        <v>32</v>
      </c>
      <c r="H25">
        <v>3</v>
      </c>
    </row>
    <row r="26" spans="3:13" x14ac:dyDescent="0.15">
      <c r="C26">
        <v>9</v>
      </c>
      <c r="D26">
        <v>10</v>
      </c>
      <c r="E26" s="17" t="s">
        <v>31</v>
      </c>
      <c r="F26" s="17">
        <v>11</v>
      </c>
      <c r="G26" s="17" t="s">
        <v>33</v>
      </c>
      <c r="H26">
        <v>10</v>
      </c>
    </row>
    <row r="27" spans="3:13" x14ac:dyDescent="0.15">
      <c r="C27">
        <v>9</v>
      </c>
      <c r="D27">
        <v>11</v>
      </c>
      <c r="E27" s="17" t="s">
        <v>33</v>
      </c>
      <c r="F27" s="17">
        <v>12</v>
      </c>
      <c r="G27" s="17" t="s">
        <v>34</v>
      </c>
      <c r="H27">
        <v>9</v>
      </c>
    </row>
    <row r="28" spans="3:13" x14ac:dyDescent="0.15">
      <c r="C28">
        <v>14</v>
      </c>
      <c r="D28">
        <v>12</v>
      </c>
      <c r="E28" s="17" t="s">
        <v>34</v>
      </c>
      <c r="F28" s="17">
        <v>1</v>
      </c>
      <c r="G28" s="17" t="s">
        <v>23</v>
      </c>
      <c r="H28">
        <v>9999</v>
      </c>
    </row>
    <row r="32" spans="3:13" x14ac:dyDescent="0.15">
      <c r="G32" s="17" t="s">
        <v>37</v>
      </c>
      <c r="H32">
        <f>MAX(C7:C28)</f>
        <v>14</v>
      </c>
    </row>
  </sheetData>
  <phoneticPr fontId="1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Security Alarm (Shortest Route)</vt:lpstr>
      <vt:lpstr>Maximum Flow</vt:lpstr>
    </vt:vector>
  </TitlesOfParts>
  <Company>Virginia 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Tutorial 4 Solution</dc:title>
  <dc:subject>Business Intelligence Modelling</dc:subject>
  <dc:creator>Mary Lim</dc:creator>
  <cp:lastModifiedBy>Ye Lan</cp:lastModifiedBy>
  <cp:lastPrinted>2009-03-31T12:19:30Z</cp:lastPrinted>
  <dcterms:created xsi:type="dcterms:W3CDTF">1996-12-10T22:33:21Z</dcterms:created>
  <dcterms:modified xsi:type="dcterms:W3CDTF">2025-09-12T07:30:34Z</dcterms:modified>
</cp:coreProperties>
</file>